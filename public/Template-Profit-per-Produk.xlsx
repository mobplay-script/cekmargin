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a Pakai" sheetId="1" state="visible" r:id="rId1"/>
    <sheet name="Profit per Prod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p#,##0;-Rp#,##0;&quot;-&quot;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006565"/>
      <sz val="18"/>
    </font>
    <font>
      <name val="Arial"/>
      <color rgb="00666666"/>
      <sz val="10"/>
    </font>
    <font>
      <name val="Arial"/>
      <color rgb="00333333"/>
      <sz val="11"/>
    </font>
    <font>
      <name val="Arial"/>
      <b val="1"/>
      <color rgb="00004F4F"/>
      <sz val="11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06565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3" borderId="1" pivotButton="0" quotePrefix="0" xfId="0"/>
    <xf numFmtId="164" fontId="8" fillId="3" borderId="1" pivotButton="0" quotePrefix="0" xfId="0"/>
    <xf numFmtId="165" fontId="8" fillId="3" borderId="1" pivotButton="0" quotePrefix="0" xfId="0"/>
    <xf numFmtId="164" fontId="9" fillId="0" borderId="1" pivotButton="0" quotePrefix="0" xfId="0"/>
    <xf numFmtId="165" fontId="9" fillId="0" borderId="1" pivotButton="0" quotePrefix="0" xfId="0"/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name val="Arial"/>
        <b val="1"/>
        <color rgb="00137333"/>
        <sz val="10"/>
      </font>
      <fill>
        <patternFill patternType="solid">
          <fgColor rgb="00C8E6C9"/>
        </patternFill>
      </fill>
    </dxf>
    <dxf>
      <font>
        <name val="Arial"/>
        <b val="1"/>
        <color rgb="009A6700"/>
        <sz val="10"/>
      </font>
      <fill>
        <patternFill patternType="solid">
          <fgColor rgb="00FFF0C2"/>
        </patternFill>
      </fill>
    </dxf>
    <dxf>
      <font>
        <name val="Arial"/>
        <b val="1"/>
        <color rgb="009A4A00"/>
        <sz val="10"/>
      </font>
      <fill>
        <patternFill patternType="solid">
          <fgColor rgb="00FFE0C2"/>
        </patternFill>
      </fill>
    </dxf>
    <dxf>
      <font>
        <name val="Arial"/>
        <b val="1"/>
        <color rgb="0093000A"/>
        <sz val="10"/>
      </font>
      <fill>
        <patternFill patternType="solid">
          <fgColor rgb="00FFD6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Template Profit per Produk</t>
        </is>
      </c>
    </row>
    <row r="2">
      <c r="A2" s="2" t="inlineStr">
        <is>
          <t>Toolkit Seller Indonesia - cekmargin.pages.dev</t>
        </is>
      </c>
    </row>
    <row r="4">
      <c r="A4" s="3" t="inlineStr"/>
    </row>
    <row r="5">
      <c r="A5" s="4" t="inlineStr">
        <is>
          <t>Cara memakai template ini:</t>
        </is>
      </c>
    </row>
    <row r="6">
      <c r="A6" s="3" t="inlineStr">
        <is>
          <t>1. Buka tab 'Profit per Produk' di bawah.</t>
        </is>
      </c>
    </row>
    <row r="7">
      <c r="A7" s="3" t="inlineStr">
        <is>
          <t>2. Isi hanya kolom berwarna kuning: Nama Produk, Modal, Biaya Packing,</t>
        </is>
      </c>
    </row>
    <row r="8">
      <c r="A8" s="3" t="inlineStr">
        <is>
          <t xml:space="preserve">   Biaya Iklan, Harga Jual, Diskon, Fee Marketplace, dan Komisi Affiliate.</t>
        </is>
      </c>
    </row>
    <row r="9">
      <c r="A9" s="3" t="inlineStr">
        <is>
          <t>3. Kolom putih (Untung Bersih, Margin, Status) terisi otomatis.</t>
        </is>
      </c>
    </row>
    <row r="10">
      <c r="A10" s="3" t="inlineStr">
        <is>
          <t>4. Lihat kolom Status untuk tahu apakah produk Aman, Tipis, Berisiko, atau Rugi.</t>
        </is>
      </c>
    </row>
    <row r="11">
      <c r="A11" s="3" t="inlineStr"/>
    </row>
    <row r="12">
      <c r="A12" s="4" t="inlineStr">
        <is>
          <t>Catatan penting:</t>
        </is>
      </c>
    </row>
    <row r="13">
      <c r="A13" s="3" t="inlineStr">
        <is>
          <t>- Isi Diskon, Fee, dan Komisi dalam persen (contoh: ketik 8% atau 0,08).</t>
        </is>
      </c>
    </row>
    <row r="14">
      <c r="A14" s="3" t="inlineStr">
        <is>
          <t>- Fee marketplace berbeda tiap kategori dan bisa berubah - cek tarif terbaru toko Anda.</t>
        </is>
      </c>
    </row>
    <row r="15">
      <c r="A15" s="3" t="inlineStr">
        <is>
          <t>- Semua hasil adalah estimasi, bukan jaminan keuntungan.</t>
        </is>
      </c>
    </row>
    <row r="16">
      <c r="A16" s="3" t="inlineStr"/>
    </row>
    <row r="17">
      <c r="A17" s="4" t="inlineStr">
        <is>
          <t>Arti Status:</t>
        </is>
      </c>
    </row>
    <row r="18">
      <c r="A18" s="3" t="inlineStr">
        <is>
          <t>- Aman      : margin &gt;= 15%, cukup sehat untuk menutup retur &amp; biaya tak terduga.</t>
        </is>
      </c>
    </row>
    <row r="19">
      <c r="A19" s="3" t="inlineStr">
        <is>
          <t>- Tipis     : margin 5%-15%, masih untung tapi hati-hati.</t>
        </is>
      </c>
    </row>
    <row r="20">
      <c r="A20" s="3" t="inlineStr">
        <is>
          <t>- Berisiko  : margin 0%-5%, satu retur bisa membuat rugi.</t>
        </is>
      </c>
    </row>
    <row r="21">
      <c r="A21" s="3" t="inlineStr">
        <is>
          <t>- Rugi      : margin &lt;= 0%, harga jual belum menutup biaya.</t>
        </is>
      </c>
    </row>
    <row r="22">
      <c r="A22" s="3" t="inlineStr"/>
    </row>
    <row r="23">
      <c r="A23" s="3" t="inlineStr">
        <is>
          <t>Butuh kalkulator cepat? Kunjungi cekmargin.pages.dev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5" customWidth="1" min="3" max="3"/>
    <col width="17" customWidth="1" min="4" max="4"/>
    <col width="14" customWidth="1" min="5" max="5"/>
    <col width="11" customWidth="1" min="6" max="6"/>
    <col width="15" customWidth="1" min="7" max="7"/>
    <col width="15" customWidth="1" min="8" max="8"/>
    <col width="18" customWidth="1" min="9" max="9"/>
    <col width="18" customWidth="1" min="10" max="10"/>
    <col width="15" customWidth="1" min="11" max="11"/>
    <col width="11" customWidth="1" min="12" max="12"/>
    <col width="14" customWidth="1" min="13" max="13"/>
  </cols>
  <sheetData>
    <row r="1" ht="28" customHeight="1">
      <c r="A1" s="5" t="inlineStr">
        <is>
          <t>Template Profit per Produk</t>
        </is>
      </c>
    </row>
    <row r="2">
      <c r="A2" s="6" t="inlineStr">
        <is>
          <t>Isi kolom kuning. Kolom putih terhitung otomatis. Persen ditulis seperti 8%.</t>
        </is>
      </c>
    </row>
    <row r="4" ht="32" customHeight="1">
      <c r="A4" s="7" t="inlineStr">
        <is>
          <t>Nama Produk</t>
        </is>
      </c>
      <c r="B4" s="7" t="inlineStr">
        <is>
          <t>Modal (Rp)</t>
        </is>
      </c>
      <c r="C4" s="7" t="inlineStr">
        <is>
          <t>Biaya Packing (Rp)</t>
        </is>
      </c>
      <c r="D4" s="7" t="inlineStr">
        <is>
          <t>Biaya Iklan/Produk (Rp)</t>
        </is>
      </c>
      <c r="E4" s="7" t="inlineStr">
        <is>
          <t>Harga Jual (Rp)</t>
        </is>
      </c>
      <c r="F4" s="7" t="inlineStr">
        <is>
          <t>Diskon (%)</t>
        </is>
      </c>
      <c r="G4" s="7" t="inlineStr">
        <is>
          <t>Fee Marketplace (%)</t>
        </is>
      </c>
      <c r="H4" s="7" t="inlineStr">
        <is>
          <t>Komisi Affiliate (%)</t>
        </is>
      </c>
      <c r="I4" s="7" t="inlineStr">
        <is>
          <t>Harga Setelah Diskon (Rp)</t>
        </is>
      </c>
      <c r="J4" s="7" t="inlineStr">
        <is>
          <t>Potongan Marketplace (Rp)</t>
        </is>
      </c>
      <c r="K4" s="7" t="inlineStr">
        <is>
          <t>Untung Bersih (Rp)</t>
        </is>
      </c>
      <c r="L4" s="7" t="inlineStr">
        <is>
          <t>Margin (%)</t>
        </is>
      </c>
      <c r="M4" s="7" t="inlineStr">
        <is>
          <t>Status</t>
        </is>
      </c>
    </row>
    <row r="5">
      <c r="A5" s="8" t="inlineStr">
        <is>
          <t>Contoh: Kaos Polos</t>
        </is>
      </c>
      <c r="B5" s="9" t="n">
        <v>20000</v>
      </c>
      <c r="C5" s="9" t="n">
        <v>2000</v>
      </c>
      <c r="D5" s="9" t="n">
        <v>1000</v>
      </c>
      <c r="E5" s="9" t="n">
        <v>30000</v>
      </c>
      <c r="F5" s="10" t="n">
        <v>0</v>
      </c>
      <c r="G5" s="10" t="n">
        <v>0.08</v>
      </c>
      <c r="H5" s="10" t="n">
        <v>0</v>
      </c>
      <c r="I5" s="11">
        <f>IF(E5="","",E5*(1-F5))</f>
        <v/>
      </c>
      <c r="J5" s="11">
        <f>IF(E5="","",I5*(G5+H5))</f>
        <v/>
      </c>
      <c r="K5" s="11">
        <f>IF(E5="","",I5-J5-B5-C5-D5)</f>
        <v/>
      </c>
      <c r="L5" s="12">
        <f>IF(OR(E5="",I5=0),"",K5/I5)</f>
        <v/>
      </c>
      <c r="M5" s="13">
        <f>IF(E5="","",IF(L5&gt;=0.15,"Aman",IF(L5&gt;=0.05,"Tipis",IF(L5&gt;0,"Berisiko rugi","Rugi"))))</f>
        <v/>
      </c>
    </row>
    <row r="6">
      <c r="A6" s="8" t="inlineStr">
        <is>
          <t>Contoh: Tumbler</t>
        </is>
      </c>
      <c r="B6" s="9" t="n">
        <v>35000</v>
      </c>
      <c r="C6" s="9" t="n">
        <v>3000</v>
      </c>
      <c r="D6" s="9" t="n">
        <v>0</v>
      </c>
      <c r="E6" s="9" t="n">
        <v>45000</v>
      </c>
      <c r="F6" s="10" t="n">
        <v>0.2</v>
      </c>
      <c r="G6" s="10" t="n">
        <v>0.08</v>
      </c>
      <c r="H6" s="10" t="n">
        <v>0</v>
      </c>
      <c r="I6" s="11">
        <f>IF(E6="","",E6*(1-F6))</f>
        <v/>
      </c>
      <c r="J6" s="11">
        <f>IF(E6="","",I6*(G6+H6))</f>
        <v/>
      </c>
      <c r="K6" s="11">
        <f>IF(E6="","",I6-J6-B6-C6-D6)</f>
        <v/>
      </c>
      <c r="L6" s="12">
        <f>IF(OR(E6="",I6=0),"",K6/I6)</f>
        <v/>
      </c>
      <c r="M6" s="13">
        <f>IF(E6="","",IF(L6&gt;=0.15,"Aman",IF(L6&gt;=0.05,"Tipis",IF(L6&gt;0,"Berisiko rugi","Rugi"))))</f>
        <v/>
      </c>
    </row>
    <row r="7">
      <c r="A7" s="8" t="n"/>
      <c r="B7" s="9" t="n"/>
      <c r="C7" s="9" t="n"/>
      <c r="D7" s="9" t="n"/>
      <c r="E7" s="9" t="n"/>
      <c r="F7" s="10" t="n"/>
      <c r="G7" s="10" t="n"/>
      <c r="H7" s="10" t="n"/>
      <c r="I7" s="11">
        <f>IF(E7="","",E7*(1-F7))</f>
        <v/>
      </c>
      <c r="J7" s="11">
        <f>IF(E7="","",I7*(G7+H7))</f>
        <v/>
      </c>
      <c r="K7" s="11">
        <f>IF(E7="","",I7-J7-B7-C7-D7)</f>
        <v/>
      </c>
      <c r="L7" s="12">
        <f>IF(OR(E7="",I7=0),"",K7/I7)</f>
        <v/>
      </c>
      <c r="M7" s="13">
        <f>IF(E7="","",IF(L7&gt;=0.15,"Aman",IF(L7&gt;=0.05,"Tipis",IF(L7&gt;0,"Berisiko rugi","Rugi"))))</f>
        <v/>
      </c>
    </row>
    <row r="8">
      <c r="A8" s="8" t="n"/>
      <c r="B8" s="9" t="n"/>
      <c r="C8" s="9" t="n"/>
      <c r="D8" s="9" t="n"/>
      <c r="E8" s="9" t="n"/>
      <c r="F8" s="10" t="n"/>
      <c r="G8" s="10" t="n"/>
      <c r="H8" s="10" t="n"/>
      <c r="I8" s="11">
        <f>IF(E8="","",E8*(1-F8))</f>
        <v/>
      </c>
      <c r="J8" s="11">
        <f>IF(E8="","",I8*(G8+H8))</f>
        <v/>
      </c>
      <c r="K8" s="11">
        <f>IF(E8="","",I8-J8-B8-C8-D8)</f>
        <v/>
      </c>
      <c r="L8" s="12">
        <f>IF(OR(E8="",I8=0),"",K8/I8)</f>
        <v/>
      </c>
      <c r="M8" s="13">
        <f>IF(E8="","",IF(L8&gt;=0.15,"Aman",IF(L8&gt;=0.05,"Tipis",IF(L8&gt;0,"Berisiko rugi","Rugi"))))</f>
        <v/>
      </c>
    </row>
    <row r="9">
      <c r="A9" s="8" t="n"/>
      <c r="B9" s="9" t="n"/>
      <c r="C9" s="9" t="n"/>
      <c r="D9" s="9" t="n"/>
      <c r="E9" s="9" t="n"/>
      <c r="F9" s="10" t="n"/>
      <c r="G9" s="10" t="n"/>
      <c r="H9" s="10" t="n"/>
      <c r="I9" s="11">
        <f>IF(E9="","",E9*(1-F9))</f>
        <v/>
      </c>
      <c r="J9" s="11">
        <f>IF(E9="","",I9*(G9+H9))</f>
        <v/>
      </c>
      <c r="K9" s="11">
        <f>IF(E9="","",I9-J9-B9-C9-D9)</f>
        <v/>
      </c>
      <c r="L9" s="12">
        <f>IF(OR(E9="",I9=0),"",K9/I9)</f>
        <v/>
      </c>
      <c r="M9" s="13">
        <f>IF(E9="","",IF(L9&gt;=0.15,"Aman",IF(L9&gt;=0.05,"Tipis",IF(L9&gt;0,"Berisiko rugi","Rugi"))))</f>
        <v/>
      </c>
    </row>
    <row r="10">
      <c r="A10" s="8" t="n"/>
      <c r="B10" s="9" t="n"/>
      <c r="C10" s="9" t="n"/>
      <c r="D10" s="9" t="n"/>
      <c r="E10" s="9" t="n"/>
      <c r="F10" s="10" t="n"/>
      <c r="G10" s="10" t="n"/>
      <c r="H10" s="10" t="n"/>
      <c r="I10" s="11">
        <f>IF(E10="","",E10*(1-F10))</f>
        <v/>
      </c>
      <c r="J10" s="11">
        <f>IF(E10="","",I10*(G10+H10))</f>
        <v/>
      </c>
      <c r="K10" s="11">
        <f>IF(E10="","",I10-J10-B10-C10-D10)</f>
        <v/>
      </c>
      <c r="L10" s="12">
        <f>IF(OR(E10="",I10=0),"",K10/I10)</f>
        <v/>
      </c>
      <c r="M10" s="13">
        <f>IF(E10="","",IF(L10&gt;=0.15,"Aman",IF(L10&gt;=0.05,"Tipis",IF(L10&gt;0,"Berisiko rugi","Rugi"))))</f>
        <v/>
      </c>
    </row>
    <row r="11">
      <c r="A11" s="8" t="n"/>
      <c r="B11" s="9" t="n"/>
      <c r="C11" s="9" t="n"/>
      <c r="D11" s="9" t="n"/>
      <c r="E11" s="9" t="n"/>
      <c r="F11" s="10" t="n"/>
      <c r="G11" s="10" t="n"/>
      <c r="H11" s="10" t="n"/>
      <c r="I11" s="11">
        <f>IF(E11="","",E11*(1-F11))</f>
        <v/>
      </c>
      <c r="J11" s="11">
        <f>IF(E11="","",I11*(G11+H11))</f>
        <v/>
      </c>
      <c r="K11" s="11">
        <f>IF(E11="","",I11-J11-B11-C11-D11)</f>
        <v/>
      </c>
      <c r="L11" s="12">
        <f>IF(OR(E11="",I11=0),"",K11/I11)</f>
        <v/>
      </c>
      <c r="M11" s="13">
        <f>IF(E11="","",IF(L11&gt;=0.15,"Aman",IF(L11&gt;=0.05,"Tipis",IF(L11&gt;0,"Berisiko rugi","Rugi"))))</f>
        <v/>
      </c>
    </row>
    <row r="12">
      <c r="A12" s="8" t="n"/>
      <c r="B12" s="9" t="n"/>
      <c r="C12" s="9" t="n"/>
      <c r="D12" s="9" t="n"/>
      <c r="E12" s="9" t="n"/>
      <c r="F12" s="10" t="n"/>
      <c r="G12" s="10" t="n"/>
      <c r="H12" s="10" t="n"/>
      <c r="I12" s="11">
        <f>IF(E12="","",E12*(1-F12))</f>
        <v/>
      </c>
      <c r="J12" s="11">
        <f>IF(E12="","",I12*(G12+H12))</f>
        <v/>
      </c>
      <c r="K12" s="11">
        <f>IF(E12="","",I12-J12-B12-C12-D12)</f>
        <v/>
      </c>
      <c r="L12" s="12">
        <f>IF(OR(E12="",I12=0),"",K12/I12)</f>
        <v/>
      </c>
      <c r="M12" s="13">
        <f>IF(E12="","",IF(L12&gt;=0.15,"Aman",IF(L12&gt;=0.05,"Tipis",IF(L12&gt;0,"Berisiko rugi","Rugi"))))</f>
        <v/>
      </c>
    </row>
    <row r="13">
      <c r="A13" s="8" t="n"/>
      <c r="B13" s="9" t="n"/>
      <c r="C13" s="9" t="n"/>
      <c r="D13" s="9" t="n"/>
      <c r="E13" s="9" t="n"/>
      <c r="F13" s="10" t="n"/>
      <c r="G13" s="10" t="n"/>
      <c r="H13" s="10" t="n"/>
      <c r="I13" s="11">
        <f>IF(E13="","",E13*(1-F13))</f>
        <v/>
      </c>
      <c r="J13" s="11">
        <f>IF(E13="","",I13*(G13+H13))</f>
        <v/>
      </c>
      <c r="K13" s="11">
        <f>IF(E13="","",I13-J13-B13-C13-D13)</f>
        <v/>
      </c>
      <c r="L13" s="12">
        <f>IF(OR(E13="",I13=0),"",K13/I13)</f>
        <v/>
      </c>
      <c r="M13" s="13">
        <f>IF(E13="","",IF(L13&gt;=0.15,"Aman",IF(L13&gt;=0.05,"Tipis",IF(L13&gt;0,"Berisiko rugi","Rugi"))))</f>
        <v/>
      </c>
    </row>
    <row r="14">
      <c r="A14" s="8" t="n"/>
      <c r="B14" s="9" t="n"/>
      <c r="C14" s="9" t="n"/>
      <c r="D14" s="9" t="n"/>
      <c r="E14" s="9" t="n"/>
      <c r="F14" s="10" t="n"/>
      <c r="G14" s="10" t="n"/>
      <c r="H14" s="10" t="n"/>
      <c r="I14" s="11">
        <f>IF(E14="","",E14*(1-F14))</f>
        <v/>
      </c>
      <c r="J14" s="11">
        <f>IF(E14="","",I14*(G14+H14))</f>
        <v/>
      </c>
      <c r="K14" s="11">
        <f>IF(E14="","",I14-J14-B14-C14-D14)</f>
        <v/>
      </c>
      <c r="L14" s="12">
        <f>IF(OR(E14="",I14=0),"",K14/I14)</f>
        <v/>
      </c>
      <c r="M14" s="13">
        <f>IF(E14="","",IF(L14&gt;=0.15,"Aman",IF(L14&gt;=0.05,"Tipis",IF(L14&gt;0,"Berisiko rugi","Rugi"))))</f>
        <v/>
      </c>
    </row>
    <row r="15">
      <c r="A15" s="8" t="n"/>
      <c r="B15" s="9" t="n"/>
      <c r="C15" s="9" t="n"/>
      <c r="D15" s="9" t="n"/>
      <c r="E15" s="9" t="n"/>
      <c r="F15" s="10" t="n"/>
      <c r="G15" s="10" t="n"/>
      <c r="H15" s="10" t="n"/>
      <c r="I15" s="11">
        <f>IF(E15="","",E15*(1-F15))</f>
        <v/>
      </c>
      <c r="J15" s="11">
        <f>IF(E15="","",I15*(G15+H15))</f>
        <v/>
      </c>
      <c r="K15" s="11">
        <f>IF(E15="","",I15-J15-B15-C15-D15)</f>
        <v/>
      </c>
      <c r="L15" s="12">
        <f>IF(OR(E15="",I15=0),"",K15/I15)</f>
        <v/>
      </c>
      <c r="M15" s="13">
        <f>IF(E15="","",IF(L15&gt;=0.15,"Aman",IF(L15&gt;=0.05,"Tipis",IF(L15&gt;0,"Berisiko rugi","Rugi"))))</f>
        <v/>
      </c>
    </row>
    <row r="16">
      <c r="A16" s="8" t="n"/>
      <c r="B16" s="9" t="n"/>
      <c r="C16" s="9" t="n"/>
      <c r="D16" s="9" t="n"/>
      <c r="E16" s="9" t="n"/>
      <c r="F16" s="10" t="n"/>
      <c r="G16" s="10" t="n"/>
      <c r="H16" s="10" t="n"/>
      <c r="I16" s="11">
        <f>IF(E16="","",E16*(1-F16))</f>
        <v/>
      </c>
      <c r="J16" s="11">
        <f>IF(E16="","",I16*(G16+H16))</f>
        <v/>
      </c>
      <c r="K16" s="11">
        <f>IF(E16="","",I16-J16-B16-C16-D16)</f>
        <v/>
      </c>
      <c r="L16" s="12">
        <f>IF(OR(E16="",I16=0),"",K16/I16)</f>
        <v/>
      </c>
      <c r="M16" s="13">
        <f>IF(E16="","",IF(L16&gt;=0.15,"Aman",IF(L16&gt;=0.05,"Tipis",IF(L16&gt;0,"Berisiko rugi","Rugi"))))</f>
        <v/>
      </c>
    </row>
    <row r="17">
      <c r="A17" s="8" t="n"/>
      <c r="B17" s="9" t="n"/>
      <c r="C17" s="9" t="n"/>
      <c r="D17" s="9" t="n"/>
      <c r="E17" s="9" t="n"/>
      <c r="F17" s="10" t="n"/>
      <c r="G17" s="10" t="n"/>
      <c r="H17" s="10" t="n"/>
      <c r="I17" s="11">
        <f>IF(E17="","",E17*(1-F17))</f>
        <v/>
      </c>
      <c r="J17" s="11">
        <f>IF(E17="","",I17*(G17+H17))</f>
        <v/>
      </c>
      <c r="K17" s="11">
        <f>IF(E17="","",I17-J17-B17-C17-D17)</f>
        <v/>
      </c>
      <c r="L17" s="12">
        <f>IF(OR(E17="",I17=0),"",K17/I17)</f>
        <v/>
      </c>
      <c r="M17" s="13">
        <f>IF(E17="","",IF(L17&gt;=0.15,"Aman",IF(L17&gt;=0.05,"Tipis",IF(L17&gt;0,"Berisiko rugi","Rugi"))))</f>
        <v/>
      </c>
    </row>
    <row r="18">
      <c r="A18" s="8" t="n"/>
      <c r="B18" s="9" t="n"/>
      <c r="C18" s="9" t="n"/>
      <c r="D18" s="9" t="n"/>
      <c r="E18" s="9" t="n"/>
      <c r="F18" s="10" t="n"/>
      <c r="G18" s="10" t="n"/>
      <c r="H18" s="10" t="n"/>
      <c r="I18" s="11">
        <f>IF(E18="","",E18*(1-F18))</f>
        <v/>
      </c>
      <c r="J18" s="11">
        <f>IF(E18="","",I18*(G18+H18))</f>
        <v/>
      </c>
      <c r="K18" s="11">
        <f>IF(E18="","",I18-J18-B18-C18-D18)</f>
        <v/>
      </c>
      <c r="L18" s="12">
        <f>IF(OR(E18="",I18=0),"",K18/I18)</f>
        <v/>
      </c>
      <c r="M18" s="13">
        <f>IF(E18="","",IF(L18&gt;=0.15,"Aman",IF(L18&gt;=0.05,"Tipis",IF(L18&gt;0,"Berisiko rugi","Rugi"))))</f>
        <v/>
      </c>
    </row>
    <row r="19">
      <c r="A19" s="8" t="n"/>
      <c r="B19" s="9" t="n"/>
      <c r="C19" s="9" t="n"/>
      <c r="D19" s="9" t="n"/>
      <c r="E19" s="9" t="n"/>
      <c r="F19" s="10" t="n"/>
      <c r="G19" s="10" t="n"/>
      <c r="H19" s="10" t="n"/>
      <c r="I19" s="11">
        <f>IF(E19="","",E19*(1-F19))</f>
        <v/>
      </c>
      <c r="J19" s="11">
        <f>IF(E19="","",I19*(G19+H19))</f>
        <v/>
      </c>
      <c r="K19" s="11">
        <f>IF(E19="","",I19-J19-B19-C19-D19)</f>
        <v/>
      </c>
      <c r="L19" s="12">
        <f>IF(OR(E19="",I19=0),"",K19/I19)</f>
        <v/>
      </c>
      <c r="M19" s="13">
        <f>IF(E19="","",IF(L19&gt;=0.15,"Aman",IF(L19&gt;=0.05,"Tipis",IF(L19&gt;0,"Berisiko rugi","Rugi"))))</f>
        <v/>
      </c>
    </row>
    <row r="20">
      <c r="A20" s="8" t="n"/>
      <c r="B20" s="9" t="n"/>
      <c r="C20" s="9" t="n"/>
      <c r="D20" s="9" t="n"/>
      <c r="E20" s="9" t="n"/>
      <c r="F20" s="10" t="n"/>
      <c r="G20" s="10" t="n"/>
      <c r="H20" s="10" t="n"/>
      <c r="I20" s="11">
        <f>IF(E20="","",E20*(1-F20))</f>
        <v/>
      </c>
      <c r="J20" s="11">
        <f>IF(E20="","",I20*(G20+H20))</f>
        <v/>
      </c>
      <c r="K20" s="11">
        <f>IF(E20="","",I20-J20-B20-C20-D20)</f>
        <v/>
      </c>
      <c r="L20" s="12">
        <f>IF(OR(E20="",I20=0),"",K20/I20)</f>
        <v/>
      </c>
      <c r="M20" s="13">
        <f>IF(E20="","",IF(L20&gt;=0.15,"Aman",IF(L20&gt;=0.05,"Tipis",IF(L20&gt;0,"Berisiko rugi","Rugi"))))</f>
        <v/>
      </c>
    </row>
    <row r="21">
      <c r="A21" s="8" t="n"/>
      <c r="B21" s="9" t="n"/>
      <c r="C21" s="9" t="n"/>
      <c r="D21" s="9" t="n"/>
      <c r="E21" s="9" t="n"/>
      <c r="F21" s="10" t="n"/>
      <c r="G21" s="10" t="n"/>
      <c r="H21" s="10" t="n"/>
      <c r="I21" s="11">
        <f>IF(E21="","",E21*(1-F21))</f>
        <v/>
      </c>
      <c r="J21" s="11">
        <f>IF(E21="","",I21*(G21+H21))</f>
        <v/>
      </c>
      <c r="K21" s="11">
        <f>IF(E21="","",I21-J21-B21-C21-D21)</f>
        <v/>
      </c>
      <c r="L21" s="12">
        <f>IF(OR(E21="",I21=0),"",K21/I21)</f>
        <v/>
      </c>
      <c r="M21" s="13">
        <f>IF(E21="","",IF(L21&gt;=0.15,"Aman",IF(L21&gt;=0.05,"Tipis",IF(L21&gt;0,"Berisiko rugi","Rugi"))))</f>
        <v/>
      </c>
    </row>
    <row r="22">
      <c r="A22" s="8" t="n"/>
      <c r="B22" s="9" t="n"/>
      <c r="C22" s="9" t="n"/>
      <c r="D22" s="9" t="n"/>
      <c r="E22" s="9" t="n"/>
      <c r="F22" s="10" t="n"/>
      <c r="G22" s="10" t="n"/>
      <c r="H22" s="10" t="n"/>
      <c r="I22" s="11">
        <f>IF(E22="","",E22*(1-F22))</f>
        <v/>
      </c>
      <c r="J22" s="11">
        <f>IF(E22="","",I22*(G22+H22))</f>
        <v/>
      </c>
      <c r="K22" s="11">
        <f>IF(E22="","",I22-J22-B22-C22-D22)</f>
        <v/>
      </c>
      <c r="L22" s="12">
        <f>IF(OR(E22="",I22=0),"",K22/I22)</f>
        <v/>
      </c>
      <c r="M22" s="13">
        <f>IF(E22="","",IF(L22&gt;=0.15,"Aman",IF(L22&gt;=0.05,"Tipis",IF(L22&gt;0,"Berisiko rugi","Rugi"))))</f>
        <v/>
      </c>
    </row>
    <row r="23">
      <c r="A23" s="8" t="n"/>
      <c r="B23" s="9" t="n"/>
      <c r="C23" s="9" t="n"/>
      <c r="D23" s="9" t="n"/>
      <c r="E23" s="9" t="n"/>
      <c r="F23" s="10" t="n"/>
      <c r="G23" s="10" t="n"/>
      <c r="H23" s="10" t="n"/>
      <c r="I23" s="11">
        <f>IF(E23="","",E23*(1-F23))</f>
        <v/>
      </c>
      <c r="J23" s="11">
        <f>IF(E23="","",I23*(G23+H23))</f>
        <v/>
      </c>
      <c r="K23" s="11">
        <f>IF(E23="","",I23-J23-B23-C23-D23)</f>
        <v/>
      </c>
      <c r="L23" s="12">
        <f>IF(OR(E23="",I23=0),"",K23/I23)</f>
        <v/>
      </c>
      <c r="M23" s="13">
        <f>IF(E23="","",IF(L23&gt;=0.15,"Aman",IF(L23&gt;=0.05,"Tipis",IF(L23&gt;0,"Berisiko rugi","Rugi"))))</f>
        <v/>
      </c>
    </row>
    <row r="24">
      <c r="A24" s="8" t="n"/>
      <c r="B24" s="9" t="n"/>
      <c r="C24" s="9" t="n"/>
      <c r="D24" s="9" t="n"/>
      <c r="E24" s="9" t="n"/>
      <c r="F24" s="10" t="n"/>
      <c r="G24" s="10" t="n"/>
      <c r="H24" s="10" t="n"/>
      <c r="I24" s="11">
        <f>IF(E24="","",E24*(1-F24))</f>
        <v/>
      </c>
      <c r="J24" s="11">
        <f>IF(E24="","",I24*(G24+H24))</f>
        <v/>
      </c>
      <c r="K24" s="11">
        <f>IF(E24="","",I24-J24-B24-C24-D24)</f>
        <v/>
      </c>
      <c r="L24" s="12">
        <f>IF(OR(E24="",I24=0),"",K24/I24)</f>
        <v/>
      </c>
      <c r="M24" s="13">
        <f>IF(E24="","",IF(L24&gt;=0.15,"Aman",IF(L24&gt;=0.05,"Tipis",IF(L24&gt;0,"Berisiko rugi","Rugi"))))</f>
        <v/>
      </c>
    </row>
    <row r="25">
      <c r="A25" s="8" t="n"/>
      <c r="B25" s="9" t="n"/>
      <c r="C25" s="9" t="n"/>
      <c r="D25" s="9" t="n"/>
      <c r="E25" s="9" t="n"/>
      <c r="F25" s="10" t="n"/>
      <c r="G25" s="10" t="n"/>
      <c r="H25" s="10" t="n"/>
      <c r="I25" s="11">
        <f>IF(E25="","",E25*(1-F25))</f>
        <v/>
      </c>
      <c r="J25" s="11">
        <f>IF(E25="","",I25*(G25+H25))</f>
        <v/>
      </c>
      <c r="K25" s="11">
        <f>IF(E25="","",I25-J25-B25-C25-D25)</f>
        <v/>
      </c>
      <c r="L25" s="12">
        <f>IF(OR(E25="",I25=0),"",K25/I25)</f>
        <v/>
      </c>
      <c r="M25" s="13">
        <f>IF(E25="","",IF(L25&gt;=0.15,"Aman",IF(L25&gt;=0.05,"Tipis",IF(L25&gt;0,"Berisiko rugi","Rugi"))))</f>
        <v/>
      </c>
    </row>
    <row r="26">
      <c r="A26" s="8" t="n"/>
      <c r="B26" s="9" t="n"/>
      <c r="C26" s="9" t="n"/>
      <c r="D26" s="9" t="n"/>
      <c r="E26" s="9" t="n"/>
      <c r="F26" s="10" t="n"/>
      <c r="G26" s="10" t="n"/>
      <c r="H26" s="10" t="n"/>
      <c r="I26" s="11">
        <f>IF(E26="","",E26*(1-F26))</f>
        <v/>
      </c>
      <c r="J26" s="11">
        <f>IF(E26="","",I26*(G26+H26))</f>
        <v/>
      </c>
      <c r="K26" s="11">
        <f>IF(E26="","",I26-J26-B26-C26-D26)</f>
        <v/>
      </c>
      <c r="L26" s="12">
        <f>IF(OR(E26="",I26=0),"",K26/I26)</f>
        <v/>
      </c>
      <c r="M26" s="13">
        <f>IF(E26="","",IF(L26&gt;=0.15,"Aman",IF(L26&gt;=0.05,"Tipis",IF(L26&gt;0,"Berisiko rugi","Rugi"))))</f>
        <v/>
      </c>
    </row>
    <row r="27">
      <c r="A27" s="8" t="n"/>
      <c r="B27" s="9" t="n"/>
      <c r="C27" s="9" t="n"/>
      <c r="D27" s="9" t="n"/>
      <c r="E27" s="9" t="n"/>
      <c r="F27" s="10" t="n"/>
      <c r="G27" s="10" t="n"/>
      <c r="H27" s="10" t="n"/>
      <c r="I27" s="11">
        <f>IF(E27="","",E27*(1-F27))</f>
        <v/>
      </c>
      <c r="J27" s="11">
        <f>IF(E27="","",I27*(G27+H27))</f>
        <v/>
      </c>
      <c r="K27" s="11">
        <f>IF(E27="","",I27-J27-B27-C27-D27)</f>
        <v/>
      </c>
      <c r="L27" s="12">
        <f>IF(OR(E27="",I27=0),"",K27/I27)</f>
        <v/>
      </c>
      <c r="M27" s="13">
        <f>IF(E27="","",IF(L27&gt;=0.15,"Aman",IF(L27&gt;=0.05,"Tipis",IF(L27&gt;0,"Berisiko rugi","Rugi"))))</f>
        <v/>
      </c>
    </row>
    <row r="28">
      <c r="A28" s="8" t="n"/>
      <c r="B28" s="9" t="n"/>
      <c r="C28" s="9" t="n"/>
      <c r="D28" s="9" t="n"/>
      <c r="E28" s="9" t="n"/>
      <c r="F28" s="10" t="n"/>
      <c r="G28" s="10" t="n"/>
      <c r="H28" s="10" t="n"/>
      <c r="I28" s="11">
        <f>IF(E28="","",E28*(1-F28))</f>
        <v/>
      </c>
      <c r="J28" s="11">
        <f>IF(E28="","",I28*(G28+H28))</f>
        <v/>
      </c>
      <c r="K28" s="11">
        <f>IF(E28="","",I28-J28-B28-C28-D28)</f>
        <v/>
      </c>
      <c r="L28" s="12">
        <f>IF(OR(E28="",I28=0),"",K28/I28)</f>
        <v/>
      </c>
      <c r="M28" s="13">
        <f>IF(E28="","",IF(L28&gt;=0.15,"Aman",IF(L28&gt;=0.05,"Tipis",IF(L28&gt;0,"Berisiko rugi","Rugi"))))</f>
        <v/>
      </c>
    </row>
    <row r="29">
      <c r="A29" s="8" t="n"/>
      <c r="B29" s="9" t="n"/>
      <c r="C29" s="9" t="n"/>
      <c r="D29" s="9" t="n"/>
      <c r="E29" s="9" t="n"/>
      <c r="F29" s="10" t="n"/>
      <c r="G29" s="10" t="n"/>
      <c r="H29" s="10" t="n"/>
      <c r="I29" s="11">
        <f>IF(E29="","",E29*(1-F29))</f>
        <v/>
      </c>
      <c r="J29" s="11">
        <f>IF(E29="","",I29*(G29+H29))</f>
        <v/>
      </c>
      <c r="K29" s="11">
        <f>IF(E29="","",I29-J29-B29-C29-D29)</f>
        <v/>
      </c>
      <c r="L29" s="12">
        <f>IF(OR(E29="",I29=0),"",K29/I29)</f>
        <v/>
      </c>
      <c r="M29" s="13">
        <f>IF(E29="","",IF(L29&gt;=0.15,"Aman",IF(L29&gt;=0.05,"Tipis",IF(L29&gt;0,"Berisiko rugi","Rugi"))))</f>
        <v/>
      </c>
    </row>
    <row r="30">
      <c r="A30" s="8" t="n"/>
      <c r="B30" s="9" t="n"/>
      <c r="C30" s="9" t="n"/>
      <c r="D30" s="9" t="n"/>
      <c r="E30" s="9" t="n"/>
      <c r="F30" s="10" t="n"/>
      <c r="G30" s="10" t="n"/>
      <c r="H30" s="10" t="n"/>
      <c r="I30" s="11">
        <f>IF(E30="","",E30*(1-F30))</f>
        <v/>
      </c>
      <c r="J30" s="11">
        <f>IF(E30="","",I30*(G30+H30))</f>
        <v/>
      </c>
      <c r="K30" s="11">
        <f>IF(E30="","",I30-J30-B30-C30-D30)</f>
        <v/>
      </c>
      <c r="L30" s="12">
        <f>IF(OR(E30="",I30=0),"",K30/I30)</f>
        <v/>
      </c>
      <c r="M30" s="13">
        <f>IF(E30="","",IF(L30&gt;=0.15,"Aman",IF(L30&gt;=0.05,"Tipis",IF(L30&gt;0,"Berisiko rugi","Rugi"))))</f>
        <v/>
      </c>
    </row>
    <row r="31">
      <c r="A31" s="8" t="n"/>
      <c r="B31" s="9" t="n"/>
      <c r="C31" s="9" t="n"/>
      <c r="D31" s="9" t="n"/>
      <c r="E31" s="9" t="n"/>
      <c r="F31" s="10" t="n"/>
      <c r="G31" s="10" t="n"/>
      <c r="H31" s="10" t="n"/>
      <c r="I31" s="11">
        <f>IF(E31="","",E31*(1-F31))</f>
        <v/>
      </c>
      <c r="J31" s="11">
        <f>IF(E31="","",I31*(G31+H31))</f>
        <v/>
      </c>
      <c r="K31" s="11">
        <f>IF(E31="","",I31-J31-B31-C31-D31)</f>
        <v/>
      </c>
      <c r="L31" s="12">
        <f>IF(OR(E31="",I31=0),"",K31/I31)</f>
        <v/>
      </c>
      <c r="M31" s="13">
        <f>IF(E31="","",IF(L31&gt;=0.15,"Aman",IF(L31&gt;=0.05,"Tipis",IF(L31&gt;0,"Berisiko rugi","Rugi"))))</f>
        <v/>
      </c>
    </row>
    <row r="32">
      <c r="A32" s="8" t="n"/>
      <c r="B32" s="9" t="n"/>
      <c r="C32" s="9" t="n"/>
      <c r="D32" s="9" t="n"/>
      <c r="E32" s="9" t="n"/>
      <c r="F32" s="10" t="n"/>
      <c r="G32" s="10" t="n"/>
      <c r="H32" s="10" t="n"/>
      <c r="I32" s="11">
        <f>IF(E32="","",E32*(1-F32))</f>
        <v/>
      </c>
      <c r="J32" s="11">
        <f>IF(E32="","",I32*(G32+H32))</f>
        <v/>
      </c>
      <c r="K32" s="11">
        <f>IF(E32="","",I32-J32-B32-C32-D32)</f>
        <v/>
      </c>
      <c r="L32" s="12">
        <f>IF(OR(E32="",I32=0),"",K32/I32)</f>
        <v/>
      </c>
      <c r="M32" s="13">
        <f>IF(E32="","",IF(L32&gt;=0.15,"Aman",IF(L32&gt;=0.05,"Tipis",IF(L32&gt;0,"Berisiko rugi","Rugi"))))</f>
        <v/>
      </c>
    </row>
    <row r="33">
      <c r="A33" s="8" t="n"/>
      <c r="B33" s="9" t="n"/>
      <c r="C33" s="9" t="n"/>
      <c r="D33" s="9" t="n"/>
      <c r="E33" s="9" t="n"/>
      <c r="F33" s="10" t="n"/>
      <c r="G33" s="10" t="n"/>
      <c r="H33" s="10" t="n"/>
      <c r="I33" s="11">
        <f>IF(E33="","",E33*(1-F33))</f>
        <v/>
      </c>
      <c r="J33" s="11">
        <f>IF(E33="","",I33*(G33+H33))</f>
        <v/>
      </c>
      <c r="K33" s="11">
        <f>IF(E33="","",I33-J33-B33-C33-D33)</f>
        <v/>
      </c>
      <c r="L33" s="12">
        <f>IF(OR(E33="",I33=0),"",K33/I33)</f>
        <v/>
      </c>
      <c r="M33" s="13">
        <f>IF(E33="","",IF(L33&gt;=0.15,"Aman",IF(L33&gt;=0.05,"Tipis",IF(L33&gt;0,"Berisiko rugi","Rugi"))))</f>
        <v/>
      </c>
    </row>
    <row r="34">
      <c r="A34" s="8" t="n"/>
      <c r="B34" s="9" t="n"/>
      <c r="C34" s="9" t="n"/>
      <c r="D34" s="9" t="n"/>
      <c r="E34" s="9" t="n"/>
      <c r="F34" s="10" t="n"/>
      <c r="G34" s="10" t="n"/>
      <c r="H34" s="10" t="n"/>
      <c r="I34" s="11">
        <f>IF(E34="","",E34*(1-F34))</f>
        <v/>
      </c>
      <c r="J34" s="11">
        <f>IF(E34="","",I34*(G34+H34))</f>
        <v/>
      </c>
      <c r="K34" s="11">
        <f>IF(E34="","",I34-J34-B34-C34-D34)</f>
        <v/>
      </c>
      <c r="L34" s="12">
        <f>IF(OR(E34="",I34=0),"",K34/I34)</f>
        <v/>
      </c>
      <c r="M34" s="13">
        <f>IF(E34="","",IF(L34&gt;=0.15,"Aman",IF(L34&gt;=0.05,"Tipis",IF(L34&gt;0,"Berisiko rugi","Rugi"))))</f>
        <v/>
      </c>
    </row>
  </sheetData>
  <mergeCells count="2">
    <mergeCell ref="A2:M2"/>
    <mergeCell ref="A1:M1"/>
  </mergeCells>
  <conditionalFormatting sqref="M5:M34">
    <cfRule type="cellIs" priority="1" operator="equal" dxfId="0">
      <formula>"Aman"</formula>
    </cfRule>
    <cfRule type="cellIs" priority="2" operator="equal" dxfId="1">
      <formula>"Tipis"</formula>
    </cfRule>
    <cfRule type="cellIs" priority="3" operator="equal" dxfId="2">
      <formula>"Berisiko rugi"</formula>
    </cfRule>
    <cfRule type="cellIs" priority="4" operator="equal" dxfId="3">
      <formula>"Rugi"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2026-05-17T13:19:02Z</dcterms:created>
  <dcterms:modified xsi:type="dcterms:W3CDTF">2026-05-17T13:19:03Z</dcterms:modified>
</cp:coreProperties>
</file>